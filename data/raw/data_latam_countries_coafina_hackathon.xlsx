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\Downloads\ewaste-coafina-data\"/>
    </mc:Choice>
  </mc:AlternateContent>
  <xr:revisionPtr revIDLastSave="0" documentId="13_ncr:1_{41B1C678-B088-48A9-94ED-8A14D07B4A37}" xr6:coauthVersionLast="47" xr6:coauthVersionMax="47" xr10:uidLastSave="{00000000-0000-0000-0000-000000000000}"/>
  <bookViews>
    <workbookView xWindow="-108" yWindow="-108" windowWidth="23256" windowHeight="12456" firstSheet="1" activeTab="4" xr2:uid="{21726299-2285-4547-BEB6-EEEF10ED085E}"/>
  </bookViews>
  <sheets>
    <sheet name="overall_data" sheetId="1" r:id="rId1"/>
    <sheet name="ewaste_generated_per_year" sheetId="2" r:id="rId2"/>
    <sheet name="eee_pom_per_year" sheetId="3" r:id="rId3"/>
    <sheet name="share_eee_categories" sheetId="4" r:id="rId4"/>
    <sheet name="share_categories_ewaste_genera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5" l="1"/>
  <c r="A13" i="5"/>
  <c r="A12" i="5"/>
  <c r="A11" i="5"/>
  <c r="A10" i="5"/>
  <c r="A9" i="5"/>
  <c r="A8" i="5"/>
  <c r="A7" i="5"/>
  <c r="A6" i="5"/>
  <c r="A5" i="5"/>
  <c r="A4" i="5"/>
  <c r="A3" i="5"/>
  <c r="A2" i="5"/>
  <c r="A14" i="4"/>
  <c r="A13" i="4"/>
  <c r="A12" i="4"/>
  <c r="A11" i="4"/>
  <c r="A10" i="4"/>
  <c r="A9" i="4"/>
  <c r="A8" i="4"/>
  <c r="A7" i="4"/>
  <c r="A6" i="4"/>
  <c r="A5" i="4"/>
  <c r="A4" i="4"/>
  <c r="A3" i="4"/>
  <c r="A2" i="4"/>
  <c r="A14" i="3"/>
  <c r="A13" i="3"/>
  <c r="A12" i="3"/>
  <c r="A11" i="3"/>
  <c r="A10" i="3"/>
  <c r="A9" i="3"/>
  <c r="A8" i="3"/>
  <c r="A7" i="3"/>
  <c r="A6" i="3"/>
  <c r="A5" i="3"/>
  <c r="A4" i="3"/>
  <c r="A3" i="3"/>
  <c r="A2" i="3"/>
  <c r="A3" i="2"/>
  <c r="A4" i="2"/>
  <c r="A5" i="2"/>
  <c r="A6" i="2"/>
  <c r="A7" i="2"/>
  <c r="A8" i="2"/>
  <c r="A9" i="2"/>
  <c r="A10" i="2"/>
  <c r="A11" i="2"/>
  <c r="A12" i="2"/>
  <c r="A13" i="2"/>
  <c r="A14" i="2"/>
  <c r="A2" i="2"/>
</calcChain>
</file>

<file path=xl/sharedStrings.xml><?xml version="1.0" encoding="utf-8"?>
<sst xmlns="http://schemas.openxmlformats.org/spreadsheetml/2006/main" count="62" uniqueCount="52">
  <si>
    <t>country</t>
  </si>
  <si>
    <t>argentina</t>
  </si>
  <si>
    <t>gdp_per_capita</t>
  </si>
  <si>
    <t>average_household_size</t>
  </si>
  <si>
    <t>eee_placed_on_market(kg/inh)</t>
  </si>
  <si>
    <t>ewaste_generated(kg/inh)</t>
  </si>
  <si>
    <t>generated_ewaste_plastic(kg/inh)</t>
  </si>
  <si>
    <t>ewaste_management_collection_rate</t>
  </si>
  <si>
    <t>ewaste_pop_management_collection_rate</t>
  </si>
  <si>
    <t>generated_bfrs_from_ewaste(kg/inh)</t>
  </si>
  <si>
    <t>ewaste_formally_collected(kg/inh)</t>
  </si>
  <si>
    <t>ewaste_generated_(kg/inh)_2009</t>
  </si>
  <si>
    <t>ewaste_generated_(kg/inh)_2010</t>
  </si>
  <si>
    <t>ewaste_generated_(kg/inh)_2011</t>
  </si>
  <si>
    <t>ewaste_generated_(kg/inh)_2012</t>
  </si>
  <si>
    <t>ewaste_generated_(kg/inh)_2013</t>
  </si>
  <si>
    <t>ewaste_generated_(kg/inh)_2014</t>
  </si>
  <si>
    <t>ewaste_generated_(kg/inh)_2015</t>
  </si>
  <si>
    <t>ewaste_generated_(kg/inh)_2016</t>
  </si>
  <si>
    <t>ewaste_generated_(kg/inh)_2017</t>
  </si>
  <si>
    <t>ewaste_generated_(kg/inh)_2018</t>
  </si>
  <si>
    <t>ewaste_generated_(kg/inh)_2019</t>
  </si>
  <si>
    <t>eee_pom_(kg/inh)_2009</t>
  </si>
  <si>
    <t>eee_pom_(kg/inh)_2010</t>
  </si>
  <si>
    <t>eee_pom_(kg/inh)_2011</t>
  </si>
  <si>
    <t>eee_pom_(kg/inh)_2012</t>
  </si>
  <si>
    <t>eee_pom_(kg/inh)_2013</t>
  </si>
  <si>
    <t>eee_pom_(kg/inh)_2014</t>
  </si>
  <si>
    <t>eee_pom_(kg/inh)_2015</t>
  </si>
  <si>
    <t>eee_pom_(kg/inh)_2016</t>
  </si>
  <si>
    <t>eee_pom_(kg/inh)_2017</t>
  </si>
  <si>
    <t>eee_pom_(kg/inh)_2018</t>
  </si>
  <si>
    <t>eee_pom_(kg/inh)_2019</t>
  </si>
  <si>
    <t>temperature_exchange_equipment</t>
  </si>
  <si>
    <t>screens_and_monitors</t>
  </si>
  <si>
    <t>lamps</t>
  </si>
  <si>
    <t>large_equipment</t>
  </si>
  <si>
    <t>small_equipment</t>
  </si>
  <si>
    <t>small_it</t>
  </si>
  <si>
    <t>bolivia</t>
  </si>
  <si>
    <t>chile</t>
  </si>
  <si>
    <t>costa_rica</t>
  </si>
  <si>
    <t>ecuador</t>
  </si>
  <si>
    <t>el_salvador</t>
  </si>
  <si>
    <t>guatemala</t>
  </si>
  <si>
    <t>nan</t>
  </si>
  <si>
    <t>honduras</t>
  </si>
  <si>
    <t>nicaragua</t>
  </si>
  <si>
    <t>panama</t>
  </si>
  <si>
    <t>peru</t>
  </si>
  <si>
    <t>uruguay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</si>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</sst>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CDFE1-AB33-4235-8045-D3FD2E7A5290}">
  <dimension ref="A1:J14"/>
  <sheetViews>
    <sheetView zoomScale="80" zoomScaleNormal="80" workbookViewId="0">
      <selection activeCell="A15" sqref="A15"/>
    </sheetView>
  </sheetViews>
  <sheetFormatPr baseColWidth="10" defaultRowHeight="14.4" x14ac:dyDescent="0.3"/>
  <cols>
    <col min="1" max="1" width="10.77734375" bestFit="1" customWidth="1"/>
    <col min="2" max="2" width="14" bestFit="1" customWidth="1"/>
    <col min="3" max="3" width="22.109375" bestFit="1" customWidth="1"/>
    <col min="4" max="4" width="33" bestFit="1" customWidth="1"/>
    <col min="5" max="5" width="37.33203125" bestFit="1" customWidth="1"/>
    <col min="6" max="6" width="27.6640625" bestFit="1" customWidth="1"/>
    <col min="7" max="7" width="23.33203125" bestFit="1" customWidth="1"/>
    <col min="8" max="8" width="30.77734375" bestFit="1" customWidth="1"/>
    <col min="9" max="9" width="30.109375" bestFit="1" customWidth="1"/>
    <col min="10" max="10" width="32.6640625" bestFit="1" customWidth="1"/>
  </cols>
  <sheetData>
    <row r="1" spans="1:10" x14ac:dyDescent="0.3">
      <c r="A1" t="s">
        <v>0</v>
      </c>
      <c r="B1" t="s">
        <v>2</v>
      </c>
      <c r="C1" t="s">
        <v>3</v>
      </c>
      <c r="D1" t="s">
        <v>7</v>
      </c>
      <c r="E1" t="s">
        <v>8</v>
      </c>
      <c r="F1" t="s">
        <v>4</v>
      </c>
      <c r="G1" t="s">
        <v>5</v>
      </c>
      <c r="H1" t="s">
        <v>10</v>
      </c>
      <c r="I1" t="s">
        <v>6</v>
      </c>
      <c r="J1" t="s">
        <v>9</v>
      </c>
    </row>
    <row r="2" spans="1:10" x14ac:dyDescent="0.3">
      <c r="A2" t="s">
        <v>1</v>
      </c>
      <c r="B2">
        <v>23040</v>
      </c>
      <c r="C2">
        <v>3.3</v>
      </c>
      <c r="D2">
        <v>0.04</v>
      </c>
      <c r="E2">
        <v>0</v>
      </c>
      <c r="F2">
        <v>7</v>
      </c>
      <c r="G2">
        <v>7.7</v>
      </c>
      <c r="H2">
        <v>0.3</v>
      </c>
      <c r="I2">
        <v>1.9</v>
      </c>
      <c r="J2">
        <v>0.2</v>
      </c>
    </row>
    <row r="3" spans="1:10" x14ac:dyDescent="0.3">
      <c r="A3" t="s">
        <v>39</v>
      </c>
      <c r="B3">
        <v>9110</v>
      </c>
      <c r="C3">
        <v>3.5</v>
      </c>
      <c r="D3">
        <v>0.04</v>
      </c>
      <c r="E3">
        <v>0</v>
      </c>
      <c r="F3">
        <v>7.5</v>
      </c>
      <c r="G3">
        <v>4.7</v>
      </c>
      <c r="H3">
        <v>0.2</v>
      </c>
      <c r="I3">
        <v>1.2</v>
      </c>
      <c r="J3">
        <v>0.1</v>
      </c>
    </row>
    <row r="4" spans="1:10" x14ac:dyDescent="0.3">
      <c r="A4" t="s">
        <v>40</v>
      </c>
      <c r="B4">
        <v>25154</v>
      </c>
      <c r="C4">
        <v>3.6</v>
      </c>
      <c r="D4">
        <v>0.05</v>
      </c>
      <c r="E4">
        <v>0</v>
      </c>
      <c r="F4">
        <v>13.4</v>
      </c>
      <c r="G4">
        <v>7.9</v>
      </c>
      <c r="H4">
        <v>0.4</v>
      </c>
      <c r="I4">
        <v>2.1</v>
      </c>
      <c r="J4">
        <v>0.2</v>
      </c>
    </row>
    <row r="5" spans="1:10" x14ac:dyDescent="0.3">
      <c r="A5" t="s">
        <v>41</v>
      </c>
      <c r="B5">
        <v>20443</v>
      </c>
      <c r="C5">
        <v>3.2</v>
      </c>
      <c r="D5">
        <v>0.08</v>
      </c>
      <c r="E5">
        <v>0</v>
      </c>
      <c r="F5">
        <v>15.4</v>
      </c>
      <c r="G5">
        <v>13.2</v>
      </c>
      <c r="H5">
        <v>1</v>
      </c>
      <c r="I5">
        <v>4.0999999999999996</v>
      </c>
      <c r="J5">
        <v>0.4</v>
      </c>
    </row>
    <row r="6" spans="1:10" x14ac:dyDescent="0.3">
      <c r="A6" t="s">
        <v>42</v>
      </c>
      <c r="B6">
        <v>11878</v>
      </c>
      <c r="C6">
        <v>3.8</v>
      </c>
      <c r="D6">
        <v>0.04</v>
      </c>
      <c r="E6">
        <v>0</v>
      </c>
      <c r="F6">
        <v>7.5</v>
      </c>
      <c r="G6">
        <v>5.0999999999999996</v>
      </c>
      <c r="H6">
        <v>0.2</v>
      </c>
      <c r="I6">
        <v>1.7</v>
      </c>
      <c r="J6">
        <v>0.2</v>
      </c>
    </row>
    <row r="7" spans="1:10" x14ac:dyDescent="0.3">
      <c r="A7" t="s">
        <v>43</v>
      </c>
      <c r="B7">
        <v>9164</v>
      </c>
      <c r="C7">
        <v>4.0999999999999996</v>
      </c>
      <c r="D7">
        <v>0.01</v>
      </c>
      <c r="E7">
        <v>0</v>
      </c>
      <c r="F7">
        <v>7.5</v>
      </c>
      <c r="G7">
        <v>5</v>
      </c>
      <c r="H7">
        <v>0.1</v>
      </c>
      <c r="I7">
        <v>1.5</v>
      </c>
      <c r="J7">
        <v>0.1</v>
      </c>
    </row>
    <row r="8" spans="1:10" x14ac:dyDescent="0.3">
      <c r="A8" t="s">
        <v>44</v>
      </c>
      <c r="B8">
        <v>17667</v>
      </c>
      <c r="C8">
        <v>4.8</v>
      </c>
      <c r="D8">
        <v>0</v>
      </c>
      <c r="E8">
        <v>0</v>
      </c>
      <c r="F8">
        <v>4.7</v>
      </c>
      <c r="G8">
        <v>2.9</v>
      </c>
      <c r="H8" t="s">
        <v>45</v>
      </c>
      <c r="I8">
        <v>0.9</v>
      </c>
      <c r="J8">
        <v>0.1</v>
      </c>
    </row>
    <row r="9" spans="1:10" x14ac:dyDescent="0.3">
      <c r="A9" t="s">
        <v>46</v>
      </c>
      <c r="B9">
        <v>5981</v>
      </c>
      <c r="C9">
        <v>3.9</v>
      </c>
      <c r="D9">
        <v>0.01</v>
      </c>
      <c r="E9">
        <v>0</v>
      </c>
      <c r="F9">
        <v>2.9</v>
      </c>
      <c r="G9">
        <v>2.6</v>
      </c>
      <c r="H9">
        <v>0.1</v>
      </c>
      <c r="I9">
        <v>0.8</v>
      </c>
      <c r="J9">
        <v>0.6</v>
      </c>
    </row>
    <row r="10" spans="1:10" x14ac:dyDescent="0.3">
      <c r="A10" t="s">
        <v>47</v>
      </c>
      <c r="B10">
        <v>1905.26</v>
      </c>
      <c r="C10">
        <v>5</v>
      </c>
      <c r="D10">
        <v>4.0000000000000001E-3</v>
      </c>
      <c r="E10">
        <v>0</v>
      </c>
      <c r="F10">
        <v>3.2</v>
      </c>
      <c r="G10">
        <v>2.5</v>
      </c>
      <c r="H10">
        <v>0.01</v>
      </c>
      <c r="I10">
        <v>0.8</v>
      </c>
      <c r="J10">
        <v>0.1</v>
      </c>
    </row>
    <row r="11" spans="1:10" x14ac:dyDescent="0.3">
      <c r="A11" t="s">
        <v>48</v>
      </c>
      <c r="B11">
        <v>32850</v>
      </c>
      <c r="C11">
        <v>3.7</v>
      </c>
      <c r="D11">
        <v>2E-3</v>
      </c>
      <c r="E11">
        <v>0</v>
      </c>
      <c r="F11">
        <v>15.2</v>
      </c>
      <c r="G11">
        <v>8.6</v>
      </c>
      <c r="H11">
        <v>0.02</v>
      </c>
      <c r="I11">
        <v>2.5</v>
      </c>
      <c r="J11">
        <v>0.2</v>
      </c>
    </row>
    <row r="12" spans="1:10" x14ac:dyDescent="0.3">
      <c r="A12" t="s">
        <v>49</v>
      </c>
      <c r="B12">
        <v>13416</v>
      </c>
      <c r="C12">
        <v>3.8</v>
      </c>
      <c r="D12">
        <v>1.4999999999999999E-2</v>
      </c>
      <c r="E12">
        <v>0</v>
      </c>
      <c r="F12">
        <v>7.5</v>
      </c>
      <c r="G12">
        <v>6</v>
      </c>
      <c r="H12">
        <v>0.1</v>
      </c>
      <c r="I12">
        <v>1.7</v>
      </c>
      <c r="J12">
        <v>0.2</v>
      </c>
    </row>
    <row r="13" spans="1:10" x14ac:dyDescent="0.3">
      <c r="A13" t="s">
        <v>50</v>
      </c>
      <c r="B13">
        <v>24006</v>
      </c>
      <c r="C13">
        <v>2.8</v>
      </c>
      <c r="D13">
        <v>0.03</v>
      </c>
      <c r="E13">
        <v>0</v>
      </c>
      <c r="F13">
        <v>14.8</v>
      </c>
      <c r="G13">
        <v>12</v>
      </c>
      <c r="H13">
        <v>0.4</v>
      </c>
      <c r="I13">
        <v>3.2</v>
      </c>
      <c r="J13">
        <v>0.2</v>
      </c>
    </row>
    <row r="14" spans="1:10" x14ac:dyDescent="0.3">
      <c r="A14" t="s">
        <v>51</v>
      </c>
      <c r="B14">
        <v>17527</v>
      </c>
      <c r="C14">
        <v>3.3</v>
      </c>
      <c r="D14">
        <v>4.0000000000000001E-3</v>
      </c>
      <c r="E14">
        <v>0</v>
      </c>
      <c r="F14">
        <v>9.9</v>
      </c>
      <c r="G14">
        <v>9.5</v>
      </c>
      <c r="H14">
        <v>0.04</v>
      </c>
      <c r="I14">
        <v>2.6</v>
      </c>
      <c r="J14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48EF-7C13-4CF1-BBD4-8FDA0280ED9C}">
  <dimension ref="A1:L14"/>
  <sheetViews>
    <sheetView zoomScale="80" zoomScaleNormal="80" workbookViewId="0">
      <selection activeCell="A15" sqref="A15:A18"/>
    </sheetView>
  </sheetViews>
  <sheetFormatPr baseColWidth="10" defaultRowHeight="14.4" x14ac:dyDescent="0.3"/>
  <cols>
    <col min="1" max="1" width="10.77734375" bestFit="1" customWidth="1"/>
    <col min="2" max="12" width="29" bestFit="1" customWidth="1"/>
  </cols>
  <sheetData>
    <row r="1" spans="1:12" x14ac:dyDescent="0.3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3">
      <c r="A2" t="str">
        <f>overall_data!A2</f>
        <v>argentina</v>
      </c>
      <c r="B2">
        <v>5.8</v>
      </c>
      <c r="C2">
        <v>6</v>
      </c>
      <c r="D2">
        <v>6.3</v>
      </c>
      <c r="E2">
        <v>6.5</v>
      </c>
      <c r="F2">
        <v>6.7</v>
      </c>
      <c r="G2">
        <v>6.8</v>
      </c>
      <c r="H2">
        <v>6.9</v>
      </c>
      <c r="I2">
        <v>7</v>
      </c>
      <c r="J2">
        <v>7.1</v>
      </c>
      <c r="K2">
        <v>7.2</v>
      </c>
      <c r="L2">
        <v>7.2</v>
      </c>
    </row>
    <row r="3" spans="1:12" x14ac:dyDescent="0.3">
      <c r="A3" t="str">
        <f>overall_data!A3</f>
        <v>bolivia</v>
      </c>
      <c r="B3">
        <v>2.4</v>
      </c>
      <c r="C3">
        <v>2.5</v>
      </c>
      <c r="D3">
        <v>2.7</v>
      </c>
      <c r="E3">
        <v>2.9</v>
      </c>
      <c r="F3">
        <v>3.1</v>
      </c>
      <c r="G3">
        <v>3.4</v>
      </c>
      <c r="H3">
        <v>3.6</v>
      </c>
      <c r="I3">
        <v>3.9</v>
      </c>
      <c r="J3">
        <v>4.2</v>
      </c>
      <c r="K3">
        <v>4.2</v>
      </c>
      <c r="L3">
        <v>4.7</v>
      </c>
    </row>
    <row r="4" spans="1:12" x14ac:dyDescent="0.3">
      <c r="A4" t="str">
        <f>overall_data!A4</f>
        <v>chile</v>
      </c>
      <c r="B4">
        <v>3.9</v>
      </c>
      <c r="C4">
        <v>4.2</v>
      </c>
      <c r="D4">
        <v>4.5999999999999996</v>
      </c>
      <c r="E4">
        <v>5.0999999999999996</v>
      </c>
      <c r="F4">
        <v>5.5</v>
      </c>
      <c r="G4">
        <v>6</v>
      </c>
      <c r="H4">
        <v>6.4</v>
      </c>
      <c r="I4">
        <v>6.8</v>
      </c>
      <c r="J4">
        <v>7.2</v>
      </c>
      <c r="K4">
        <v>7.6</v>
      </c>
      <c r="L4">
        <v>7.9</v>
      </c>
    </row>
    <row r="5" spans="1:12" x14ac:dyDescent="0.3">
      <c r="A5" t="str">
        <f>overall_data!A5</f>
        <v>costa_rica</v>
      </c>
      <c r="B5">
        <v>9</v>
      </c>
      <c r="C5">
        <v>9.8000000000000007</v>
      </c>
      <c r="D5">
        <v>10.5</v>
      </c>
      <c r="E5">
        <v>11.2</v>
      </c>
      <c r="F5">
        <v>11.6</v>
      </c>
      <c r="G5">
        <v>12</v>
      </c>
      <c r="H5">
        <v>12.5</v>
      </c>
      <c r="I5">
        <v>12.9</v>
      </c>
      <c r="J5">
        <v>12.7</v>
      </c>
      <c r="K5">
        <v>12.9</v>
      </c>
      <c r="L5">
        <v>13.2</v>
      </c>
    </row>
    <row r="6" spans="1:12" x14ac:dyDescent="0.3">
      <c r="A6" t="str">
        <f>overall_data!A6</f>
        <v>ecuador</v>
      </c>
      <c r="B6">
        <v>2.8</v>
      </c>
      <c r="C6">
        <v>3.1</v>
      </c>
      <c r="D6">
        <v>3.4</v>
      </c>
      <c r="E6">
        <v>3.7</v>
      </c>
      <c r="F6">
        <v>4</v>
      </c>
      <c r="G6">
        <v>4.2</v>
      </c>
      <c r="H6">
        <v>4.4000000000000004</v>
      </c>
      <c r="I6">
        <v>4.5</v>
      </c>
      <c r="J6">
        <v>4.7</v>
      </c>
      <c r="K6">
        <v>4.9000000000000004</v>
      </c>
      <c r="L6">
        <v>5.0999999999999996</v>
      </c>
    </row>
    <row r="7" spans="1:12" x14ac:dyDescent="0.3">
      <c r="A7" t="str">
        <f>overall_data!A7</f>
        <v>el_salvador</v>
      </c>
      <c r="B7">
        <v>3.9</v>
      </c>
      <c r="C7">
        <v>4.2</v>
      </c>
      <c r="D7">
        <v>4.4000000000000004</v>
      </c>
      <c r="E7">
        <v>4.5999999999999996</v>
      </c>
      <c r="F7">
        <v>4.7</v>
      </c>
      <c r="G7">
        <v>4.8</v>
      </c>
      <c r="H7">
        <v>4.8</v>
      </c>
      <c r="I7">
        <v>4.9000000000000004</v>
      </c>
      <c r="J7">
        <v>4.9000000000000004</v>
      </c>
      <c r="K7">
        <v>4.9000000000000004</v>
      </c>
      <c r="L7">
        <v>5</v>
      </c>
    </row>
    <row r="8" spans="1:12" x14ac:dyDescent="0.3">
      <c r="A8" t="str">
        <f>overall_data!A8</f>
        <v>guatemala</v>
      </c>
      <c r="B8">
        <v>1.8</v>
      </c>
      <c r="C8">
        <v>1.9</v>
      </c>
      <c r="D8">
        <v>2</v>
      </c>
      <c r="E8">
        <v>2.1</v>
      </c>
      <c r="F8">
        <v>2.2000000000000002</v>
      </c>
      <c r="G8">
        <v>2.4</v>
      </c>
      <c r="H8">
        <v>2.5</v>
      </c>
      <c r="I8">
        <v>2.6</v>
      </c>
      <c r="J8">
        <v>2.7</v>
      </c>
      <c r="K8">
        <v>2.8</v>
      </c>
      <c r="L8">
        <v>2.9</v>
      </c>
    </row>
    <row r="9" spans="1:12" x14ac:dyDescent="0.3">
      <c r="A9" t="str">
        <f>overall_data!A9</f>
        <v>honduras</v>
      </c>
      <c r="B9">
        <v>1.8</v>
      </c>
      <c r="C9">
        <v>1.9</v>
      </c>
      <c r="D9">
        <v>2</v>
      </c>
      <c r="E9">
        <v>2</v>
      </c>
      <c r="F9">
        <v>2.1</v>
      </c>
      <c r="G9">
        <v>2.2000000000000002</v>
      </c>
      <c r="H9">
        <v>2.2999999999999998</v>
      </c>
      <c r="I9">
        <v>2.4</v>
      </c>
      <c r="J9">
        <v>2.4</v>
      </c>
      <c r="K9">
        <v>2.5</v>
      </c>
      <c r="L9">
        <v>2.6</v>
      </c>
    </row>
    <row r="10" spans="1:12" x14ac:dyDescent="0.3">
      <c r="A10" t="str">
        <f>overall_data!A10</f>
        <v>nicaragua</v>
      </c>
      <c r="B10">
        <v>1.6</v>
      </c>
      <c r="C10">
        <v>1.7</v>
      </c>
      <c r="D10">
        <v>1.8</v>
      </c>
      <c r="E10">
        <v>1.9</v>
      </c>
      <c r="F10">
        <v>2</v>
      </c>
      <c r="G10">
        <v>2</v>
      </c>
      <c r="H10">
        <v>2.1</v>
      </c>
      <c r="I10">
        <v>2.2000000000000002</v>
      </c>
      <c r="J10">
        <v>2.2999999999999998</v>
      </c>
      <c r="K10">
        <v>2.4</v>
      </c>
      <c r="L10">
        <v>2.5</v>
      </c>
    </row>
    <row r="11" spans="1:12" x14ac:dyDescent="0.3">
      <c r="A11" t="str">
        <f>overall_data!A11</f>
        <v>panama</v>
      </c>
      <c r="B11">
        <v>5.9</v>
      </c>
      <c r="C11">
        <v>6.4</v>
      </c>
      <c r="D11">
        <v>6.9</v>
      </c>
      <c r="E11">
        <v>7.2</v>
      </c>
      <c r="F11">
        <v>7.5</v>
      </c>
      <c r="G11">
        <v>7.8</v>
      </c>
      <c r="H11">
        <v>7.9</v>
      </c>
      <c r="I11">
        <v>3</v>
      </c>
      <c r="J11">
        <v>8.4</v>
      </c>
      <c r="K11">
        <v>8.5</v>
      </c>
      <c r="L11">
        <v>8.6</v>
      </c>
    </row>
    <row r="12" spans="1:12" x14ac:dyDescent="0.3">
      <c r="A12" t="str">
        <f>overall_data!A12</f>
        <v>peru</v>
      </c>
      <c r="B12">
        <v>3.4</v>
      </c>
      <c r="C12">
        <v>3.8</v>
      </c>
      <c r="D12">
        <v>4.2</v>
      </c>
      <c r="E12">
        <v>4.5</v>
      </c>
      <c r="F12">
        <v>4.8</v>
      </c>
      <c r="G12">
        <v>5</v>
      </c>
      <c r="H12">
        <v>5.2</v>
      </c>
      <c r="I12">
        <v>5.4</v>
      </c>
      <c r="J12">
        <v>5.6</v>
      </c>
      <c r="K12">
        <v>5.8</v>
      </c>
      <c r="L12">
        <v>6</v>
      </c>
    </row>
    <row r="13" spans="1:12" x14ac:dyDescent="0.3">
      <c r="A13" t="str">
        <f>overall_data!A13</f>
        <v>uruguay</v>
      </c>
      <c r="B13">
        <v>7.5</v>
      </c>
      <c r="C13">
        <v>7.9</v>
      </c>
      <c r="D13">
        <v>8.3000000000000007</v>
      </c>
      <c r="E13">
        <v>8.6999999999999993</v>
      </c>
      <c r="F13">
        <v>9.1999999999999993</v>
      </c>
      <c r="G13">
        <v>9.6</v>
      </c>
      <c r="H13">
        <v>9.9</v>
      </c>
      <c r="I13">
        <v>10.199999999999999</v>
      </c>
      <c r="J13">
        <v>10.6</v>
      </c>
      <c r="K13">
        <v>10.9</v>
      </c>
      <c r="L13">
        <v>12</v>
      </c>
    </row>
    <row r="14" spans="1:12" x14ac:dyDescent="0.3">
      <c r="A14" t="str">
        <f>overall_data!A14</f>
        <v>venezuela</v>
      </c>
      <c r="B14">
        <v>6.8</v>
      </c>
      <c r="C14">
        <v>7.2</v>
      </c>
      <c r="D14">
        <v>7.5</v>
      </c>
      <c r="E14">
        <v>7.9</v>
      </c>
      <c r="F14">
        <v>8.1999999999999993</v>
      </c>
      <c r="G14">
        <v>8.5</v>
      </c>
      <c r="H14">
        <v>8.8000000000000007</v>
      </c>
      <c r="I14">
        <v>9.1</v>
      </c>
      <c r="J14">
        <v>9.5</v>
      </c>
      <c r="K14">
        <v>9.1</v>
      </c>
      <c r="L14">
        <v>9.5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C6E60-EEA4-46C1-86B8-4885F38056E9}">
  <dimension ref="A1:L14"/>
  <sheetViews>
    <sheetView zoomScale="85" zoomScaleNormal="85" workbookViewId="0">
      <selection activeCell="A15" sqref="A15:A18"/>
    </sheetView>
  </sheetViews>
  <sheetFormatPr baseColWidth="10" defaultColWidth="11.6640625" defaultRowHeight="14.4" x14ac:dyDescent="0.3"/>
  <cols>
    <col min="1" max="1" width="9.77734375" bestFit="1" customWidth="1"/>
    <col min="2" max="12" width="21.33203125" bestFit="1" customWidth="1"/>
  </cols>
  <sheetData>
    <row r="1" spans="1:12" x14ac:dyDescent="0.3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</row>
    <row r="2" spans="1:12" x14ac:dyDescent="0.3">
      <c r="A2" t="str">
        <f>overall_data!A2</f>
        <v>argentina</v>
      </c>
      <c r="B2">
        <v>7.6</v>
      </c>
      <c r="C2">
        <v>10.3</v>
      </c>
      <c r="D2">
        <v>11.1</v>
      </c>
      <c r="E2">
        <v>9.8000000000000007</v>
      </c>
      <c r="F2">
        <v>9.5</v>
      </c>
      <c r="G2">
        <v>7.6</v>
      </c>
      <c r="H2">
        <v>9.9</v>
      </c>
      <c r="I2">
        <v>8.9</v>
      </c>
      <c r="J2">
        <v>10.199999999999999</v>
      </c>
      <c r="K2">
        <v>8.6</v>
      </c>
      <c r="L2">
        <v>7</v>
      </c>
    </row>
    <row r="3" spans="1:12" x14ac:dyDescent="0.3">
      <c r="A3" t="str">
        <f>overall_data!A3</f>
        <v>bolivia</v>
      </c>
      <c r="B3">
        <v>4.9000000000000004</v>
      </c>
      <c r="C3">
        <v>5.6</v>
      </c>
      <c r="D3">
        <v>7.9</v>
      </c>
      <c r="E3">
        <v>8</v>
      </c>
      <c r="F3">
        <v>8.1</v>
      </c>
      <c r="G3">
        <v>8.3000000000000007</v>
      </c>
      <c r="H3">
        <v>7.6</v>
      </c>
      <c r="I3">
        <v>8.3000000000000007</v>
      </c>
      <c r="J3">
        <v>9.3000000000000007</v>
      </c>
      <c r="K3">
        <v>8.4</v>
      </c>
      <c r="L3">
        <v>7.5</v>
      </c>
    </row>
    <row r="4" spans="1:12" x14ac:dyDescent="0.3">
      <c r="A4" t="str">
        <f>overall_data!A4</f>
        <v>chile</v>
      </c>
      <c r="B4">
        <v>8.1</v>
      </c>
      <c r="C4">
        <v>12.8</v>
      </c>
      <c r="D4">
        <v>13.3</v>
      </c>
      <c r="E4">
        <v>13.9</v>
      </c>
      <c r="F4">
        <v>13.9</v>
      </c>
      <c r="G4">
        <v>13.7</v>
      </c>
      <c r="H4">
        <v>14.4</v>
      </c>
      <c r="I4">
        <v>15</v>
      </c>
      <c r="J4">
        <v>16.2</v>
      </c>
      <c r="K4">
        <v>15.1</v>
      </c>
      <c r="L4">
        <v>13.4</v>
      </c>
    </row>
    <row r="5" spans="1:12" x14ac:dyDescent="0.3">
      <c r="A5" t="str">
        <f>overall_data!A5</f>
        <v>costa_rica</v>
      </c>
      <c r="B5">
        <v>11.9</v>
      </c>
      <c r="C5">
        <v>13.1</v>
      </c>
      <c r="D5">
        <v>15.5</v>
      </c>
      <c r="E5">
        <v>15.2</v>
      </c>
      <c r="F5">
        <v>14.4</v>
      </c>
      <c r="G5">
        <v>16.2</v>
      </c>
      <c r="H5">
        <v>16.100000000000001</v>
      </c>
      <c r="I5">
        <v>16.5</v>
      </c>
      <c r="J5">
        <v>13.7</v>
      </c>
      <c r="K5">
        <v>15.3</v>
      </c>
      <c r="L5">
        <v>15.5</v>
      </c>
    </row>
    <row r="6" spans="1:12" x14ac:dyDescent="0.3">
      <c r="A6" t="str">
        <f>overall_data!A6</f>
        <v>ecuador</v>
      </c>
      <c r="B6">
        <v>5.6</v>
      </c>
      <c r="C6">
        <v>7</v>
      </c>
      <c r="D6">
        <v>7.1</v>
      </c>
      <c r="E6">
        <v>6.8</v>
      </c>
      <c r="F6">
        <v>7.1</v>
      </c>
      <c r="G6">
        <v>7.2</v>
      </c>
      <c r="H6">
        <v>6.4</v>
      </c>
      <c r="I6">
        <v>5.5</v>
      </c>
      <c r="J6">
        <v>7.6</v>
      </c>
      <c r="K6">
        <v>8.1</v>
      </c>
      <c r="L6">
        <v>7.5</v>
      </c>
    </row>
    <row r="7" spans="1:12" x14ac:dyDescent="0.3">
      <c r="A7" t="str">
        <f>overall_data!A7</f>
        <v>el_salvador</v>
      </c>
      <c r="B7">
        <v>6.1</v>
      </c>
      <c r="C7">
        <v>5</v>
      </c>
      <c r="D7">
        <v>5.5</v>
      </c>
      <c r="E7">
        <v>5.4</v>
      </c>
      <c r="F7">
        <v>5.7</v>
      </c>
      <c r="G7">
        <v>5</v>
      </c>
      <c r="H7">
        <v>5.8</v>
      </c>
      <c r="I7">
        <v>5.9</v>
      </c>
      <c r="J7">
        <v>6.8</v>
      </c>
      <c r="K7">
        <v>6.8</v>
      </c>
      <c r="L7">
        <v>7.5</v>
      </c>
    </row>
    <row r="8" spans="1:12" x14ac:dyDescent="0.3">
      <c r="A8" t="str">
        <f>overall_data!A8</f>
        <v>guatemala</v>
      </c>
      <c r="B8">
        <v>3.6</v>
      </c>
      <c r="C8">
        <v>3.6</v>
      </c>
      <c r="D8">
        <v>3.7</v>
      </c>
      <c r="E8">
        <v>4.0999999999999996</v>
      </c>
      <c r="F8">
        <v>3.8</v>
      </c>
      <c r="G8">
        <v>4.2</v>
      </c>
      <c r="H8">
        <v>4.7</v>
      </c>
      <c r="I8">
        <v>4.2</v>
      </c>
      <c r="J8">
        <v>4.4000000000000004</v>
      </c>
      <c r="K8">
        <v>4.4000000000000004</v>
      </c>
      <c r="L8">
        <v>4.7</v>
      </c>
    </row>
    <row r="9" spans="1:12" x14ac:dyDescent="0.3">
      <c r="A9" t="str">
        <f>overall_data!A9</f>
        <v>honduras</v>
      </c>
      <c r="B9">
        <v>3.4</v>
      </c>
      <c r="C9">
        <v>3.6</v>
      </c>
      <c r="D9">
        <v>3.5</v>
      </c>
      <c r="E9">
        <v>3.3</v>
      </c>
      <c r="F9">
        <v>3.1</v>
      </c>
      <c r="G9">
        <v>3.2</v>
      </c>
      <c r="H9">
        <v>3.3</v>
      </c>
      <c r="I9">
        <v>2.9</v>
      </c>
      <c r="J9">
        <v>3</v>
      </c>
      <c r="K9">
        <v>2.9</v>
      </c>
      <c r="L9">
        <v>2.7</v>
      </c>
    </row>
    <row r="10" spans="1:12" x14ac:dyDescent="0.3">
      <c r="A10" t="str">
        <f>overall_data!A10</f>
        <v>nicaragua</v>
      </c>
      <c r="B10">
        <v>2.6</v>
      </c>
      <c r="C10">
        <v>2.7</v>
      </c>
      <c r="D10">
        <v>2.9</v>
      </c>
      <c r="E10">
        <v>2.9</v>
      </c>
      <c r="F10">
        <v>2.9</v>
      </c>
      <c r="G10">
        <v>3</v>
      </c>
      <c r="H10">
        <v>3.3</v>
      </c>
      <c r="I10">
        <v>3.2</v>
      </c>
      <c r="J10">
        <v>3.5</v>
      </c>
      <c r="K10">
        <v>3.2</v>
      </c>
      <c r="L10">
        <v>3.2</v>
      </c>
    </row>
    <row r="11" spans="1:12" x14ac:dyDescent="0.3">
      <c r="A11" t="str">
        <f>overall_data!A11</f>
        <v>panama</v>
      </c>
      <c r="B11">
        <v>10.3</v>
      </c>
      <c r="C11">
        <v>12.8</v>
      </c>
      <c r="D11">
        <v>12.4</v>
      </c>
      <c r="E11">
        <v>10.8</v>
      </c>
      <c r="F11">
        <v>11.1</v>
      </c>
      <c r="G11">
        <v>11.4</v>
      </c>
      <c r="H11">
        <v>12</v>
      </c>
      <c r="I11">
        <v>3.8</v>
      </c>
      <c r="J11">
        <v>15.4</v>
      </c>
      <c r="K11">
        <v>14.8</v>
      </c>
      <c r="L11">
        <v>15.2</v>
      </c>
    </row>
    <row r="12" spans="1:12" x14ac:dyDescent="0.3">
      <c r="A12" t="str">
        <f>overall_data!A12</f>
        <v>peru</v>
      </c>
      <c r="B12">
        <v>6.6</v>
      </c>
      <c r="C12">
        <v>7.4</v>
      </c>
      <c r="D12">
        <v>8</v>
      </c>
      <c r="E12">
        <v>6.9</v>
      </c>
      <c r="F12">
        <v>6.5</v>
      </c>
      <c r="G12">
        <v>5.9</v>
      </c>
      <c r="H12">
        <v>6</v>
      </c>
      <c r="I12">
        <v>6.3</v>
      </c>
      <c r="J12">
        <v>7.3</v>
      </c>
      <c r="K12">
        <v>8.4</v>
      </c>
      <c r="L12">
        <v>7.5</v>
      </c>
    </row>
    <row r="13" spans="1:12" x14ac:dyDescent="0.3">
      <c r="A13" t="str">
        <f>overall_data!A13</f>
        <v>uruguay</v>
      </c>
      <c r="B13">
        <v>11.9</v>
      </c>
      <c r="C13">
        <v>14.3</v>
      </c>
      <c r="D13">
        <v>15.1</v>
      </c>
      <c r="E13">
        <v>15</v>
      </c>
      <c r="F13">
        <v>15.4</v>
      </c>
      <c r="G13">
        <v>16.2</v>
      </c>
      <c r="H13">
        <v>14.4</v>
      </c>
      <c r="I13">
        <v>14.5</v>
      </c>
      <c r="J13">
        <v>22.6</v>
      </c>
      <c r="K13">
        <v>13.5</v>
      </c>
      <c r="L13">
        <v>14.8</v>
      </c>
    </row>
    <row r="14" spans="1:12" x14ac:dyDescent="0.3">
      <c r="A14" t="str">
        <f>overall_data!A14</f>
        <v>venezuela</v>
      </c>
      <c r="B14">
        <v>13.1</v>
      </c>
      <c r="C14">
        <v>13.1</v>
      </c>
      <c r="D14">
        <v>13.8</v>
      </c>
      <c r="E14">
        <v>14.6</v>
      </c>
      <c r="F14">
        <v>13.2</v>
      </c>
      <c r="G14">
        <v>11.9</v>
      </c>
      <c r="H14">
        <v>10.199999999999999</v>
      </c>
      <c r="I14">
        <v>10.5</v>
      </c>
      <c r="J14">
        <v>9.4</v>
      </c>
      <c r="K14">
        <v>9.5</v>
      </c>
      <c r="L14">
        <v>9.9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3936-C7FF-42E0-9C3C-C7A94154F279}">
  <dimension ref="A1:G14"/>
  <sheetViews>
    <sheetView workbookViewId="0">
      <selection activeCell="A15" sqref="A15:A18"/>
    </sheetView>
  </sheetViews>
  <sheetFormatPr baseColWidth="10" defaultRowHeight="14.4" x14ac:dyDescent="0.3"/>
  <cols>
    <col min="2" max="2" width="29.109375" bestFit="1" customWidth="1"/>
    <col min="3" max="3" width="19.21875" bestFit="1" customWidth="1"/>
    <col min="5" max="5" width="14.33203125" bestFit="1" customWidth="1"/>
    <col min="6" max="6" width="14.6640625" bestFit="1" customWidth="1"/>
  </cols>
  <sheetData>
    <row r="1" spans="1:7" x14ac:dyDescent="0.3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3">
      <c r="A2" t="str">
        <f>overall_data!A2</f>
        <v>argentina</v>
      </c>
      <c r="B2">
        <v>0.22</v>
      </c>
      <c r="C2">
        <v>7.0000000000000007E-2</v>
      </c>
      <c r="D2">
        <v>0.14000000000000001</v>
      </c>
      <c r="E2">
        <v>0.32</v>
      </c>
      <c r="F2">
        <v>0.2</v>
      </c>
      <c r="G2">
        <v>0.05</v>
      </c>
    </row>
    <row r="3" spans="1:7" x14ac:dyDescent="0.3">
      <c r="A3" t="str">
        <f>overall_data!A3</f>
        <v>bolivia</v>
      </c>
      <c r="B3">
        <v>0.2</v>
      </c>
      <c r="C3">
        <v>0.03</v>
      </c>
      <c r="D3">
        <v>0.06</v>
      </c>
      <c r="E3">
        <v>0.25</v>
      </c>
      <c r="F3">
        <v>0.39</v>
      </c>
      <c r="G3">
        <v>7.0000000000000007E-2</v>
      </c>
    </row>
    <row r="4" spans="1:7" x14ac:dyDescent="0.3">
      <c r="A4" t="str">
        <f>overall_data!A4</f>
        <v>chile</v>
      </c>
      <c r="B4">
        <v>0.34</v>
      </c>
      <c r="C4">
        <v>0.09</v>
      </c>
      <c r="D4">
        <v>0.01</v>
      </c>
      <c r="E4">
        <v>0.23</v>
      </c>
      <c r="F4">
        <v>0.28999999999999998</v>
      </c>
      <c r="G4">
        <v>0.05</v>
      </c>
    </row>
    <row r="5" spans="1:7" x14ac:dyDescent="0.3">
      <c r="A5" t="str">
        <f>overall_data!A5</f>
        <v>costa_rica</v>
      </c>
      <c r="B5">
        <v>0.22</v>
      </c>
      <c r="C5">
        <v>0.08</v>
      </c>
      <c r="D5">
        <v>0.03</v>
      </c>
      <c r="E5">
        <v>0.19</v>
      </c>
      <c r="F5">
        <v>0.42</v>
      </c>
      <c r="G5">
        <v>7.0000000000000007E-2</v>
      </c>
    </row>
    <row r="6" spans="1:7" x14ac:dyDescent="0.3">
      <c r="A6" t="str">
        <f>overall_data!A6</f>
        <v>ecuador</v>
      </c>
      <c r="B6">
        <v>0.25</v>
      </c>
      <c r="C6">
        <v>0.1</v>
      </c>
      <c r="D6">
        <v>0.03</v>
      </c>
      <c r="E6">
        <v>0.15</v>
      </c>
      <c r="F6">
        <v>0.41</v>
      </c>
      <c r="G6">
        <v>7.0000000000000007E-2</v>
      </c>
    </row>
    <row r="7" spans="1:7" x14ac:dyDescent="0.3">
      <c r="A7" t="str">
        <f>overall_data!A7</f>
        <v>el_salvador</v>
      </c>
      <c r="B7">
        <v>0.28000000000000003</v>
      </c>
      <c r="C7">
        <v>7.0000000000000007E-2</v>
      </c>
      <c r="D7">
        <v>0.04</v>
      </c>
      <c r="E7">
        <v>0.33</v>
      </c>
      <c r="F7">
        <v>0.21</v>
      </c>
      <c r="G7">
        <v>7.0000000000000007E-2</v>
      </c>
    </row>
    <row r="8" spans="1:7" x14ac:dyDescent="0.3">
      <c r="A8" t="str">
        <f>overall_data!A8</f>
        <v>guatemala</v>
      </c>
      <c r="B8">
        <v>0.22</v>
      </c>
      <c r="C8">
        <v>0.12</v>
      </c>
      <c r="D8">
        <v>0.05</v>
      </c>
      <c r="E8">
        <v>0.13</v>
      </c>
      <c r="F8">
        <v>0.36</v>
      </c>
      <c r="G8">
        <v>0.12</v>
      </c>
    </row>
    <row r="9" spans="1:7" x14ac:dyDescent="0.3">
      <c r="A9" t="str">
        <f>overall_data!A9</f>
        <v>honduras</v>
      </c>
      <c r="B9">
        <v>0.23</v>
      </c>
      <c r="C9">
        <v>0.05</v>
      </c>
      <c r="D9">
        <v>0.06</v>
      </c>
      <c r="E9">
        <v>0.08</v>
      </c>
      <c r="F9">
        <v>0.51</v>
      </c>
      <c r="G9">
        <v>7.0000000000000007E-2</v>
      </c>
    </row>
    <row r="10" spans="1:7" x14ac:dyDescent="0.3">
      <c r="A10" t="str">
        <f>overall_data!A10</f>
        <v>nicaragua</v>
      </c>
      <c r="B10">
        <v>0.31</v>
      </c>
      <c r="C10">
        <v>0.06</v>
      </c>
      <c r="D10">
        <v>0.06</v>
      </c>
      <c r="E10">
        <v>0.1</v>
      </c>
      <c r="F10">
        <v>0.38</v>
      </c>
      <c r="G10">
        <v>0.1</v>
      </c>
    </row>
    <row r="11" spans="1:7" x14ac:dyDescent="0.3">
      <c r="A11" t="str">
        <f>overall_data!A11</f>
        <v>panama</v>
      </c>
      <c r="B11">
        <v>0.24</v>
      </c>
      <c r="C11">
        <v>0.06</v>
      </c>
      <c r="D11">
        <v>0.01</v>
      </c>
      <c r="E11">
        <v>0.38</v>
      </c>
      <c r="F11">
        <v>0.25</v>
      </c>
      <c r="G11">
        <v>0.06</v>
      </c>
    </row>
    <row r="12" spans="1:7" x14ac:dyDescent="0.3">
      <c r="A12" t="str">
        <f>overall_data!A12</f>
        <v>peru</v>
      </c>
      <c r="B12">
        <v>0.25</v>
      </c>
      <c r="C12">
        <v>0.1</v>
      </c>
      <c r="D12">
        <v>0.01</v>
      </c>
      <c r="E12">
        <v>0.17</v>
      </c>
      <c r="F12">
        <v>0.38</v>
      </c>
      <c r="G12">
        <v>0.09</v>
      </c>
    </row>
    <row r="13" spans="1:7" x14ac:dyDescent="0.3">
      <c r="A13" t="str">
        <f>overall_data!A13</f>
        <v>uruguay</v>
      </c>
      <c r="B13">
        <v>0.3</v>
      </c>
      <c r="C13">
        <v>0.06</v>
      </c>
      <c r="D13">
        <v>0.02</v>
      </c>
      <c r="E13">
        <v>0.23</v>
      </c>
      <c r="F13">
        <v>0.33</v>
      </c>
      <c r="G13">
        <v>0.06</v>
      </c>
    </row>
    <row r="14" spans="1:7" x14ac:dyDescent="0.3">
      <c r="A14" t="str">
        <f>overall_data!A14</f>
        <v>venezuela</v>
      </c>
      <c r="B14">
        <v>0.27</v>
      </c>
      <c r="C14">
        <v>0.12</v>
      </c>
      <c r="D14">
        <v>0.02</v>
      </c>
      <c r="E14">
        <v>0.22</v>
      </c>
      <c r="F14">
        <v>0.28999999999999998</v>
      </c>
      <c r="G14">
        <v>0.08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86EE-8465-46D7-BE30-49B995FC2C75}">
  <dimension ref="A1:G14"/>
  <sheetViews>
    <sheetView tabSelected="1" workbookViewId="0">
      <selection activeCell="C23" sqref="C23"/>
    </sheetView>
  </sheetViews>
  <sheetFormatPr baseColWidth="10" defaultRowHeight="14.4" x14ac:dyDescent="0.3"/>
  <cols>
    <col min="1" max="1" width="10" bestFit="1" customWidth="1"/>
    <col min="2" max="2" width="29.109375" bestFit="1" customWidth="1"/>
    <col min="3" max="3" width="19.21875" bestFit="1" customWidth="1"/>
    <col min="4" max="4" width="5.88671875" bestFit="1" customWidth="1"/>
    <col min="5" max="5" width="14.33203125" bestFit="1" customWidth="1"/>
    <col min="6" max="6" width="14.6640625" bestFit="1" customWidth="1"/>
    <col min="7" max="7" width="7.109375" bestFit="1" customWidth="1"/>
  </cols>
  <sheetData>
    <row r="1" spans="1:7" x14ac:dyDescent="0.3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3">
      <c r="A2" t="str">
        <f>overall_data!A2</f>
        <v>argentina</v>
      </c>
      <c r="B2">
        <v>0.22</v>
      </c>
      <c r="C2">
        <v>0.14000000000000001</v>
      </c>
      <c r="D2">
        <v>0.03</v>
      </c>
      <c r="E2">
        <v>0.28000000000000003</v>
      </c>
      <c r="F2">
        <v>0.26</v>
      </c>
      <c r="G2">
        <v>0.08</v>
      </c>
    </row>
    <row r="3" spans="1:7" x14ac:dyDescent="0.3">
      <c r="A3" t="str">
        <f>overall_data!A3</f>
        <v>bolivia</v>
      </c>
      <c r="B3">
        <v>0.15</v>
      </c>
      <c r="C3">
        <v>0.06</v>
      </c>
      <c r="D3">
        <v>0.08</v>
      </c>
      <c r="E3">
        <v>0.22</v>
      </c>
      <c r="F3">
        <v>0.39</v>
      </c>
      <c r="G3">
        <v>0.11</v>
      </c>
    </row>
    <row r="4" spans="1:7" x14ac:dyDescent="0.3">
      <c r="A4" t="str">
        <f>overall_data!A4</f>
        <v>chile</v>
      </c>
      <c r="B4">
        <v>0.26</v>
      </c>
      <c r="C4">
        <v>0.15</v>
      </c>
      <c r="D4">
        <v>0.02</v>
      </c>
      <c r="E4">
        <v>0.16</v>
      </c>
      <c r="F4">
        <v>0.34</v>
      </c>
      <c r="G4">
        <v>7.0000000000000007E-2</v>
      </c>
    </row>
    <row r="5" spans="1:7" x14ac:dyDescent="0.3">
      <c r="A5" t="str">
        <f>overall_data!A5</f>
        <v>costa_rica</v>
      </c>
      <c r="B5">
        <v>0.17</v>
      </c>
      <c r="C5">
        <v>0.14000000000000001</v>
      </c>
      <c r="D5">
        <v>0.03</v>
      </c>
      <c r="E5">
        <v>0.17</v>
      </c>
      <c r="F5">
        <v>0.41</v>
      </c>
      <c r="G5">
        <v>0.09</v>
      </c>
    </row>
    <row r="6" spans="1:7" x14ac:dyDescent="0.3">
      <c r="A6" t="str">
        <f>overall_data!A6</f>
        <v>ecuador</v>
      </c>
      <c r="B6">
        <v>0.16</v>
      </c>
      <c r="C6">
        <v>0.11</v>
      </c>
      <c r="D6">
        <v>0.04</v>
      </c>
      <c r="E6">
        <v>0.15</v>
      </c>
      <c r="F6">
        <v>0.49</v>
      </c>
      <c r="G6">
        <v>0.1</v>
      </c>
    </row>
    <row r="7" spans="1:7" x14ac:dyDescent="0.3">
      <c r="A7" t="str">
        <f>overall_data!A7</f>
        <v>el_salvador</v>
      </c>
      <c r="B7">
        <v>0.24</v>
      </c>
      <c r="C7">
        <v>0.15</v>
      </c>
      <c r="D7">
        <v>0.06</v>
      </c>
      <c r="E7">
        <v>0.13</v>
      </c>
      <c r="F7">
        <v>0.31</v>
      </c>
      <c r="G7">
        <v>0.1</v>
      </c>
    </row>
    <row r="8" spans="1:7" x14ac:dyDescent="0.3">
      <c r="A8" t="str">
        <f>overall_data!A8</f>
        <v>guatemala</v>
      </c>
      <c r="B8">
        <v>0.17</v>
      </c>
      <c r="C8">
        <v>0.14000000000000001</v>
      </c>
      <c r="D8">
        <v>7.0000000000000007E-2</v>
      </c>
      <c r="E8">
        <v>0.12</v>
      </c>
      <c r="F8">
        <v>0.37</v>
      </c>
      <c r="G8">
        <v>0.14000000000000001</v>
      </c>
    </row>
    <row r="9" spans="1:7" x14ac:dyDescent="0.3">
      <c r="A9" t="str">
        <f>overall_data!A9</f>
        <v>honduras</v>
      </c>
      <c r="B9">
        <v>0.28000000000000003</v>
      </c>
      <c r="C9">
        <v>0.15</v>
      </c>
      <c r="D9">
        <v>0.03</v>
      </c>
      <c r="E9">
        <v>0.12</v>
      </c>
      <c r="F9">
        <v>0.34</v>
      </c>
      <c r="G9">
        <v>0.08</v>
      </c>
    </row>
    <row r="10" spans="1:7" x14ac:dyDescent="0.3">
      <c r="A10" t="str">
        <f>overall_data!A10</f>
        <v>nicaragua</v>
      </c>
      <c r="B10">
        <v>0.26</v>
      </c>
      <c r="C10">
        <v>0.13</v>
      </c>
      <c r="D10">
        <v>0.03</v>
      </c>
      <c r="E10">
        <v>0.09</v>
      </c>
      <c r="F10">
        <v>0.38</v>
      </c>
      <c r="G10">
        <v>0.11</v>
      </c>
    </row>
    <row r="11" spans="1:7" x14ac:dyDescent="0.3">
      <c r="A11" t="str">
        <f>overall_data!A11</f>
        <v>panama</v>
      </c>
      <c r="B11">
        <v>0.24</v>
      </c>
      <c r="C11">
        <v>0.13</v>
      </c>
      <c r="D11">
        <v>0.02</v>
      </c>
      <c r="E11">
        <v>0.2</v>
      </c>
      <c r="F11">
        <v>0.33</v>
      </c>
      <c r="G11">
        <v>0.08</v>
      </c>
    </row>
    <row r="12" spans="1:7" x14ac:dyDescent="0.3">
      <c r="A12" t="str">
        <f>overall_data!A12</f>
        <v>peru</v>
      </c>
      <c r="B12">
        <v>0.17</v>
      </c>
      <c r="C12">
        <v>0.16</v>
      </c>
      <c r="D12">
        <v>0.04</v>
      </c>
      <c r="E12">
        <v>0.22</v>
      </c>
      <c r="F12">
        <v>0.33</v>
      </c>
      <c r="G12">
        <v>0.1</v>
      </c>
    </row>
    <row r="13" spans="1:7" x14ac:dyDescent="0.3">
      <c r="A13" t="str">
        <f>overall_data!A13</f>
        <v>uruguay</v>
      </c>
      <c r="B13">
        <v>0.24</v>
      </c>
      <c r="C13">
        <v>0.14000000000000001</v>
      </c>
      <c r="D13">
        <v>0.06</v>
      </c>
      <c r="E13">
        <v>0.18</v>
      </c>
      <c r="F13">
        <v>0.3</v>
      </c>
      <c r="G13">
        <v>0.08</v>
      </c>
    </row>
    <row r="14" spans="1:7" x14ac:dyDescent="0.3">
      <c r="A14" t="str">
        <f>overall_data!A14</f>
        <v>venezuela</v>
      </c>
      <c r="B14">
        <v>0.23</v>
      </c>
      <c r="C14">
        <v>0.12</v>
      </c>
      <c r="D14">
        <v>0.02</v>
      </c>
      <c r="E14">
        <v>0.22</v>
      </c>
      <c r="F14">
        <v>0.32</v>
      </c>
      <c r="G14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overall_data</vt:lpstr>
      <vt:lpstr>ewaste_generated_per_year</vt:lpstr>
      <vt:lpstr>eee_pom_per_year</vt:lpstr>
      <vt:lpstr>share_eee_categories</vt:lpstr>
      <vt:lpstr>share_categories_ewaste_generat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DESARROLADOR</dc:creator>
  <cp:lastModifiedBy>DESARROLADOR</cp:lastModifiedBy>
  <dcterms:created xsi:type="dcterms:W3CDTF">2025-11-08T16:11:10Z</dcterms:created>
  <dcterms:modified xsi:type="dcterms:W3CDTF">2025-11-08T17:26:54Z</dcterms:modified>
</cp:coreProperties>
</file>